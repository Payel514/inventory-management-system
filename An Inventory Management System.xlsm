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yel Pramanik\Downloads\"/>
    </mc:Choice>
  </mc:AlternateContent>
  <xr:revisionPtr revIDLastSave="0" documentId="8_{76CB8FDA-FAFC-43B7-B6EB-2F174A26626B}" xr6:coauthVersionLast="47" xr6:coauthVersionMax="47" xr10:uidLastSave="{00000000-0000-0000-0000-000000000000}"/>
  <bookViews>
    <workbookView xWindow="-108" yWindow="-108" windowWidth="23256" windowHeight="12576" activeTab="4" xr2:uid="{99D7BBF2-57B7-49FB-9EB2-14C8B97BE5D9}"/>
  </bookViews>
  <sheets>
    <sheet name="Inventory" sheetId="1" r:id="rId1"/>
    <sheet name="Sales" sheetId="2" r:id="rId2"/>
    <sheet name="KPI" sheetId="7" r:id="rId3"/>
    <sheet name="Dashboard" sheetId="3" r:id="rId4"/>
    <sheet name="Top Seller" sheetId="5" r:id="rId5"/>
  </sheets>
  <calcPr calcId="191029"/>
  <pivotCaches>
    <pivotCache cacheId="2" r:id="rId6"/>
    <pivotCache cacheId="5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7" l="1"/>
  <c r="C3" i="7"/>
  <c r="C2" i="7"/>
  <c r="C1" i="7"/>
  <c r="I3" i="1"/>
  <c r="I4" i="1"/>
  <c r="I5" i="1"/>
  <c r="I6" i="1"/>
  <c r="I7" i="1"/>
  <c r="I8" i="1"/>
  <c r="I2" i="1"/>
  <c r="E7" i="2"/>
  <c r="F3" i="2"/>
  <c r="G3" i="2" s="1"/>
  <c r="F4" i="2"/>
  <c r="G4" i="2" s="1"/>
  <c r="F5" i="2"/>
  <c r="G5" i="2" s="1"/>
  <c r="F6" i="2"/>
  <c r="G6" i="2" s="1"/>
  <c r="F7" i="2"/>
  <c r="G7" i="2" s="1"/>
  <c r="F8" i="2"/>
  <c r="G8" i="2" s="1"/>
  <c r="F9" i="2"/>
  <c r="G9" i="2" s="1"/>
  <c r="F2" i="2"/>
  <c r="G2" i="2" s="1"/>
  <c r="E3" i="2"/>
  <c r="E4" i="2"/>
  <c r="E5" i="2"/>
  <c r="E6" i="2"/>
  <c r="E8" i="2"/>
  <c r="E9" i="2"/>
  <c r="E2" i="2"/>
  <c r="F3" i="1"/>
  <c r="F4" i="1"/>
  <c r="F5" i="1"/>
  <c r="F6" i="1"/>
  <c r="F7" i="1"/>
  <c r="F8" i="1"/>
  <c r="F2" i="1"/>
</calcChain>
</file>

<file path=xl/sharedStrings.xml><?xml version="1.0" encoding="utf-8"?>
<sst xmlns="http://schemas.openxmlformats.org/spreadsheetml/2006/main" count="59" uniqueCount="41">
  <si>
    <t>Item ID</t>
  </si>
  <si>
    <t>Item Name</t>
  </si>
  <si>
    <t>Category</t>
  </si>
  <si>
    <t>Quantity</t>
  </si>
  <si>
    <t>Price/Unit</t>
  </si>
  <si>
    <t>Total Price</t>
  </si>
  <si>
    <t>Restock level</t>
  </si>
  <si>
    <t>Last Updated</t>
  </si>
  <si>
    <t>Wireless Mouse</t>
  </si>
  <si>
    <t>USB-C Cable</t>
  </si>
  <si>
    <t>Notebook AS</t>
  </si>
  <si>
    <t>Ballpoint Pen</t>
  </si>
  <si>
    <t>Intant Coffee</t>
  </si>
  <si>
    <t>Bluetooth Speaker</t>
  </si>
  <si>
    <t>Electronics</t>
  </si>
  <si>
    <t>Stationary</t>
  </si>
  <si>
    <t>Groceries</t>
  </si>
  <si>
    <t>Stationaries</t>
  </si>
  <si>
    <t>Sale ID</t>
  </si>
  <si>
    <t>Quantity Sold</t>
  </si>
  <si>
    <t>Date</t>
  </si>
  <si>
    <t>S001</t>
  </si>
  <si>
    <t>S002</t>
  </si>
  <si>
    <t>S003</t>
  </si>
  <si>
    <t>S004</t>
  </si>
  <si>
    <t>S005</t>
  </si>
  <si>
    <t>S006</t>
  </si>
  <si>
    <t>S007</t>
  </si>
  <si>
    <t>S008</t>
  </si>
  <si>
    <t>Status</t>
  </si>
  <si>
    <t>Total Inventrory value</t>
  </si>
  <si>
    <t>Average Price per Unit</t>
  </si>
  <si>
    <t>Total Revenue</t>
  </si>
  <si>
    <t>Revenue</t>
  </si>
  <si>
    <t>Paper Ream A4</t>
  </si>
  <si>
    <t>Total Revenue Value</t>
  </si>
  <si>
    <t>Row Labels</t>
  </si>
  <si>
    <t>Grand Total</t>
  </si>
  <si>
    <t>Sum of Price/Unit</t>
  </si>
  <si>
    <t>Sum of Quantity Sold</t>
  </si>
  <si>
    <t>Low Stock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</si>
</sst>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1" fillId="0" borderId="1" xfId="0" applyFont="1" applyBorder="1"/>
    <xf numFmtId="0" fontId="0" fillId="0" borderId="1" xfId="0" applyFont="1" applyBorder="1"/>
    <xf numFmtId="14" fontId="0" fillId="0" borderId="1" xfId="0" applyNumberFormat="1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2" fontId="0" fillId="0" borderId="1" xfId="0" applyNumberFormat="1" applyBorder="1"/>
    <xf numFmtId="14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 Inventory Management System.xlsm]Dashboard!PivotTable1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702602799650043"/>
          <c:y val="0.14249781277340332"/>
          <c:w val="0.34685739282589678"/>
          <c:h val="0.7501027996500437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Dashboard!$A$4:$A$8</c:f>
              <c:strCache>
                <c:ptCount val="4"/>
                <c:pt idx="0">
                  <c:v>Electronics</c:v>
                </c:pt>
                <c:pt idx="1">
                  <c:v>Groceries</c:v>
                </c:pt>
                <c:pt idx="2">
                  <c:v>Stationaries</c:v>
                </c:pt>
                <c:pt idx="3">
                  <c:v>Stationary</c:v>
                </c:pt>
              </c:strCache>
            </c:strRef>
          </c:cat>
          <c:val>
            <c:numRef>
              <c:f>Dashboard!$B$4:$B$8</c:f>
              <c:numCache>
                <c:formatCode>General</c:formatCode>
                <c:ptCount val="4"/>
                <c:pt idx="0">
                  <c:v>1128894000</c:v>
                </c:pt>
                <c:pt idx="1">
                  <c:v>384000</c:v>
                </c:pt>
                <c:pt idx="2">
                  <c:v>131250</c:v>
                </c:pt>
                <c:pt idx="3">
                  <c:v>758000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A5-4F9B-9F9D-206EAAB9A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57954463"/>
        <c:axId val="1657955711"/>
      </c:barChart>
      <c:catAx>
        <c:axId val="16579544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955711"/>
        <c:crosses val="autoZero"/>
        <c:auto val="1"/>
        <c:lblAlgn val="ctr"/>
        <c:lblOffset val="100"/>
        <c:noMultiLvlLbl val="0"/>
      </c:catAx>
      <c:valAx>
        <c:axId val="1657955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954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</xdr:colOff>
      <xdr:row>0</xdr:row>
      <xdr:rowOff>171450</xdr:rowOff>
    </xdr:from>
    <xdr:to>
      <xdr:col>11</xdr:col>
      <xdr:colOff>0</xdr:colOff>
      <xdr:row>15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B69E87-71C9-4225-8388-C46CBBBBB6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yel Pramanik" refreshedDate="45755.495139699073" createdVersion="7" refreshedVersion="7" minRefreshableVersion="3" recordCount="7" xr:uid="{F9C45466-C4AB-4D44-9544-BFA51855E396}">
  <cacheSource type="worksheet">
    <worksheetSource ref="A1:I8" sheet="Inventory"/>
  </cacheSource>
  <cacheFields count="9">
    <cacheField name="Item ID" numFmtId="0">
      <sharedItems containsSemiMixedTypes="0" containsString="0" containsNumber="1" containsInteger="1" minValue="1001" maxValue="1007"/>
    </cacheField>
    <cacheField name="Item Name" numFmtId="0">
      <sharedItems/>
    </cacheField>
    <cacheField name="Category" numFmtId="0">
      <sharedItems count="4">
        <s v="Electronics"/>
        <s v="Stationary"/>
        <s v="Groceries"/>
        <s v="Stationaries"/>
      </sharedItems>
    </cacheField>
    <cacheField name="Quantity" numFmtId="0">
      <sharedItems containsSemiMixedTypes="0" containsString="0" containsNumber="1" containsInteger="1" minValue="-10" maxValue="170"/>
    </cacheField>
    <cacheField name="Price/Unit" numFmtId="0">
      <sharedItems containsSemiMixedTypes="0" containsString="0" containsNumber="1" containsInteger="1" minValue="60000" maxValue="1128600000"/>
    </cacheField>
    <cacheField name="Total Price" numFmtId="0">
      <sharedItems containsSemiMixedTypes="0" containsString="0" containsNumber="1" containsInteger="1" minValue="-600000" maxValue="29343600000"/>
    </cacheField>
    <cacheField name="Restock level" numFmtId="0">
      <sharedItems containsSemiMixedTypes="0" containsString="0" containsNumber="1" containsInteger="1" minValue="5" maxValue="50"/>
    </cacheField>
    <cacheField name="Last Updated" numFmtId="14">
      <sharedItems containsSemiMixedTypes="0" containsNonDate="0" containsDate="1" containsString="0" minDate="2023-06-05T00:00:00" maxDate="2023-06-06T00:00:00"/>
    </cacheField>
    <cacheField name="Statu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yel Pramanik" refreshedDate="45755.507379050927" createdVersion="7" refreshedVersion="7" minRefreshableVersion="3" recordCount="8" xr:uid="{B1299BAD-4A07-45F5-BAC8-0A8616E5415E}">
  <cacheSource type="worksheet">
    <worksheetSource ref="A1:G9" sheet="Sales"/>
  </cacheSource>
  <cacheFields count="7">
    <cacheField name="Sale ID" numFmtId="0">
      <sharedItems/>
    </cacheField>
    <cacheField name="Item ID" numFmtId="0">
      <sharedItems containsSemiMixedTypes="0" containsString="0" containsNumber="1" containsInteger="1" minValue="1001" maxValue="1007"/>
    </cacheField>
    <cacheField name="Quantity Sold" numFmtId="0">
      <sharedItems containsSemiMixedTypes="0" containsString="0" containsNumber="1" containsInteger="1" minValue="2" maxValue="20"/>
    </cacheField>
    <cacheField name="Date" numFmtId="14">
      <sharedItems containsSemiMixedTypes="0" containsNonDate="0" containsDate="1" containsString="0" minDate="2023-06-01T00:00:00" maxDate="2025-06-05T00:00:00"/>
    </cacheField>
    <cacheField name="Item Name" numFmtId="0">
      <sharedItems count="7">
        <s v="Wireless Mouse"/>
        <s v="USB-C Cable"/>
        <s v="Notebook AS"/>
        <s v="Ballpoint Pen"/>
        <s v="Intant Coffee"/>
        <s v="Paper Ream A4"/>
        <s v="Bluetooth Speaker"/>
      </sharedItems>
    </cacheField>
    <cacheField name="Revenue" numFmtId="0">
      <sharedItems containsSemiMixedTypes="0" containsString="0" containsNumber="1" containsInteger="1" minValue="60000" maxValue="1128600000"/>
    </cacheField>
    <cacheField name="Total Revenue" numFmtId="0">
      <sharedItems containsSemiMixedTypes="0" containsString="0" containsNumber="1" containsInteger="1" minValue="468000" maxValue="79002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n v="1001"/>
    <s v="Wireless Mouse"/>
    <x v="0"/>
    <n v="26"/>
    <n v="1128600000"/>
    <n v="29343600000"/>
    <n v="20"/>
    <d v="2023-06-05T00:00:00"/>
    <s v="Sufficient"/>
  </r>
  <r>
    <n v="1002"/>
    <s v="USB-C Cable"/>
    <x v="0"/>
    <n v="-10"/>
    <n v="60000"/>
    <n v="-600000"/>
    <n v="10"/>
    <d v="2023-06-05T00:00:00"/>
    <s v="Lowstock"/>
  </r>
  <r>
    <n v="1003"/>
    <s v="Notebook AS"/>
    <x v="1"/>
    <n v="94"/>
    <n v="388000"/>
    <n v="36472000"/>
    <n v="30"/>
    <d v="2023-06-05T00:00:00"/>
    <s v="Sufficient"/>
  </r>
  <r>
    <n v="1004"/>
    <s v="Ballpoint Pen"/>
    <x v="1"/>
    <n v="170"/>
    <n v="370000"/>
    <n v="62900000"/>
    <n v="50"/>
    <d v="2023-06-05T00:00:00"/>
    <s v="Sufficient"/>
  </r>
  <r>
    <n v="1005"/>
    <s v="Intant Coffee"/>
    <x v="2"/>
    <n v="24"/>
    <n v="384000"/>
    <n v="9216000"/>
    <n v="15"/>
    <d v="2023-06-05T00:00:00"/>
    <s v="Sufficient"/>
  </r>
  <r>
    <n v="1006"/>
    <s v="Paper Ream A4"/>
    <x v="3"/>
    <n v="17"/>
    <n v="131250"/>
    <n v="2231250"/>
    <n v="10"/>
    <d v="2023-06-05T00:00:00"/>
    <s v="Sufficient"/>
  </r>
  <r>
    <n v="1007"/>
    <s v="Bluetooth Speaker"/>
    <x v="0"/>
    <n v="11"/>
    <n v="234000"/>
    <n v="2574000"/>
    <n v="5"/>
    <d v="2023-06-05T00:00:00"/>
    <s v="Sufficient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s v="S001"/>
    <n v="1001"/>
    <n v="5"/>
    <d v="2023-06-01T00:00:00"/>
    <x v="0"/>
    <n v="1128600000"/>
    <n v="5643000000"/>
  </r>
  <r>
    <s v="S002"/>
    <n v="1002"/>
    <n v="20"/>
    <d v="2023-06-01T00:00:00"/>
    <x v="1"/>
    <n v="60000"/>
    <n v="1200000"/>
  </r>
  <r>
    <s v="S003"/>
    <n v="1003"/>
    <n v="3"/>
    <d v="2023-06-02T00:00:00"/>
    <x v="2"/>
    <n v="388000"/>
    <n v="1164000"/>
  </r>
  <r>
    <s v="S004"/>
    <n v="1004"/>
    <n v="15"/>
    <d v="2023-06-03T00:00:00"/>
    <x v="3"/>
    <n v="370000"/>
    <n v="5550000"/>
  </r>
  <r>
    <s v="S005"/>
    <n v="1005"/>
    <n v="8"/>
    <d v="2023-06-03T00:00:00"/>
    <x v="4"/>
    <n v="384000"/>
    <n v="3072000"/>
  </r>
  <r>
    <s v="S006"/>
    <n v="1006"/>
    <n v="4"/>
    <d v="2023-06-04T00:00:00"/>
    <x v="5"/>
    <n v="131250"/>
    <n v="525000"/>
  </r>
  <r>
    <s v="S007"/>
    <n v="1007"/>
    <n v="2"/>
    <d v="2025-06-04T00:00:00"/>
    <x v="6"/>
    <n v="234000"/>
    <n v="468000"/>
  </r>
  <r>
    <s v="S008"/>
    <n v="1001"/>
    <n v="7"/>
    <d v="2023-06-04T00:00:00"/>
    <x v="0"/>
    <n v="1128600000"/>
    <n v="79002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1746E4-BFA8-4CDE-8414-CEA9F526AAC0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B8" firstHeaderRow="1" firstDataRow="1" firstDataCol="1"/>
  <pivotFields count="9">
    <pivotField showAll="0"/>
    <pivotField showAll="0"/>
    <pivotField axis="axisRow" showAll="0">
      <items count="5">
        <item x="0"/>
        <item x="2"/>
        <item x="3"/>
        <item x="1"/>
        <item t="default"/>
      </items>
    </pivotField>
    <pivotField showAll="0"/>
    <pivotField dataField="1" showAll="0"/>
    <pivotField showAll="0"/>
    <pivotField showAll="0"/>
    <pivotField numFmtId="14"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Price/Unit" fld="4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0A8EFD-90DB-44A5-99CE-C9D637934DE6}" name="PivotTable2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1" firstHeaderRow="1" firstDataRow="1" firstDataCol="1"/>
  <pivotFields count="7">
    <pivotField showAll="0"/>
    <pivotField showAll="0"/>
    <pivotField dataField="1" showAll="0"/>
    <pivotField numFmtId="14" showAll="0"/>
    <pivotField axis="axisRow" showAll="0" sortType="descending">
      <items count="8">
        <item x="3"/>
        <item x="6"/>
        <item x="4"/>
        <item x="2"/>
        <item x="5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</pivotFields>
  <rowFields count="1">
    <field x="4"/>
  </rowFields>
  <rowItems count="8">
    <i>
      <x v="5"/>
    </i>
    <i>
      <x/>
    </i>
    <i>
      <x v="6"/>
    </i>
    <i>
      <x v="2"/>
    </i>
    <i>
      <x v="4"/>
    </i>
    <i>
      <x v="3"/>
    </i>
    <i>
      <x v="1"/>
    </i>
    <i t="grand">
      <x/>
    </i>
  </rowItems>
  <colItems count="1">
    <i/>
  </colItems>
  <dataFields count="1">
    <dataField name="Sum of Quantity Sold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DDC58-9A06-491E-9A43-844B5343B74F}">
  <sheetPr codeName="Sheet1"/>
  <dimension ref="A1:J9"/>
  <sheetViews>
    <sheetView zoomScaleNormal="100" workbookViewId="0">
      <selection activeCell="F20" sqref="F20"/>
    </sheetView>
  </sheetViews>
  <sheetFormatPr defaultRowHeight="14.4" x14ac:dyDescent="0.3"/>
  <cols>
    <col min="2" max="2" width="15.88671875" customWidth="1"/>
    <col min="3" max="3" width="10.77734375" customWidth="1"/>
    <col min="4" max="4" width="12.88671875" customWidth="1"/>
    <col min="5" max="5" width="9.5546875" customWidth="1"/>
    <col min="6" max="6" width="10.5546875" customWidth="1"/>
    <col min="7" max="7" width="13.109375" customWidth="1"/>
    <col min="8" max="8" width="13.21875" customWidth="1"/>
    <col min="9" max="9" width="10.5546875" customWidth="1"/>
  </cols>
  <sheetData>
    <row r="1" spans="1:10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29</v>
      </c>
    </row>
    <row r="2" spans="1:10" x14ac:dyDescent="0.3">
      <c r="A2" s="5">
        <v>1001</v>
      </c>
      <c r="B2" s="5" t="s">
        <v>8</v>
      </c>
      <c r="C2" s="5" t="s">
        <v>14</v>
      </c>
      <c r="D2" s="5">
        <v>26</v>
      </c>
      <c r="E2" s="5">
        <v>1128600000</v>
      </c>
      <c r="F2" s="5">
        <f>D2*E2</f>
        <v>29343600000</v>
      </c>
      <c r="G2" s="5">
        <v>20</v>
      </c>
      <c r="H2" s="6">
        <v>45082</v>
      </c>
      <c r="I2" s="7" t="str">
        <f>IF(D2 &lt;= G2, "Lowstock", "Sufficient")</f>
        <v>Sufficient</v>
      </c>
      <c r="J2" s="2"/>
    </row>
    <row r="3" spans="1:10" x14ac:dyDescent="0.3">
      <c r="A3" s="5">
        <v>1002</v>
      </c>
      <c r="B3" s="5" t="s">
        <v>9</v>
      </c>
      <c r="C3" s="5" t="s">
        <v>14</v>
      </c>
      <c r="D3" s="5">
        <v>-10</v>
      </c>
      <c r="E3" s="5">
        <v>60000</v>
      </c>
      <c r="F3" s="5">
        <f t="shared" ref="F3:F8" si="0">D3*E3</f>
        <v>-600000</v>
      </c>
      <c r="G3" s="5">
        <v>10</v>
      </c>
      <c r="H3" s="6">
        <v>45082</v>
      </c>
      <c r="I3" s="7" t="str">
        <f t="shared" ref="I3:I8" si="1">IF(D3 &lt;= G3, "Lowstock", "Sufficient")</f>
        <v>Lowstock</v>
      </c>
    </row>
    <row r="4" spans="1:10" x14ac:dyDescent="0.3">
      <c r="A4" s="5">
        <v>1003</v>
      </c>
      <c r="B4" s="5" t="s">
        <v>10</v>
      </c>
      <c r="C4" s="5" t="s">
        <v>15</v>
      </c>
      <c r="D4" s="5">
        <v>94</v>
      </c>
      <c r="E4" s="5">
        <v>388000</v>
      </c>
      <c r="F4" s="5">
        <f t="shared" si="0"/>
        <v>36472000</v>
      </c>
      <c r="G4" s="5">
        <v>30</v>
      </c>
      <c r="H4" s="6">
        <v>45082</v>
      </c>
      <c r="I4" s="7" t="str">
        <f t="shared" si="1"/>
        <v>Sufficient</v>
      </c>
    </row>
    <row r="5" spans="1:10" x14ac:dyDescent="0.3">
      <c r="A5" s="5">
        <v>1004</v>
      </c>
      <c r="B5" s="5" t="s">
        <v>11</v>
      </c>
      <c r="C5" s="5" t="s">
        <v>15</v>
      </c>
      <c r="D5" s="5">
        <v>170</v>
      </c>
      <c r="E5" s="5">
        <v>370000</v>
      </c>
      <c r="F5" s="5">
        <f t="shared" si="0"/>
        <v>62900000</v>
      </c>
      <c r="G5" s="5">
        <v>50</v>
      </c>
      <c r="H5" s="6">
        <v>45082</v>
      </c>
      <c r="I5" s="7" t="str">
        <f t="shared" si="1"/>
        <v>Sufficient</v>
      </c>
    </row>
    <row r="6" spans="1:10" x14ac:dyDescent="0.3">
      <c r="A6" s="5">
        <v>1005</v>
      </c>
      <c r="B6" s="5" t="s">
        <v>12</v>
      </c>
      <c r="C6" s="5" t="s">
        <v>16</v>
      </c>
      <c r="D6" s="5">
        <v>24</v>
      </c>
      <c r="E6" s="5">
        <v>384000</v>
      </c>
      <c r="F6" s="5">
        <f t="shared" si="0"/>
        <v>9216000</v>
      </c>
      <c r="G6" s="5">
        <v>15</v>
      </c>
      <c r="H6" s="6">
        <v>45082</v>
      </c>
      <c r="I6" s="7" t="str">
        <f t="shared" si="1"/>
        <v>Sufficient</v>
      </c>
    </row>
    <row r="7" spans="1:10" x14ac:dyDescent="0.3">
      <c r="A7" s="5">
        <v>1006</v>
      </c>
      <c r="B7" s="5" t="s">
        <v>34</v>
      </c>
      <c r="C7" s="5" t="s">
        <v>17</v>
      </c>
      <c r="D7" s="5">
        <v>17</v>
      </c>
      <c r="E7" s="5">
        <v>131250</v>
      </c>
      <c r="F7" s="5">
        <f t="shared" si="0"/>
        <v>2231250</v>
      </c>
      <c r="G7" s="5">
        <v>10</v>
      </c>
      <c r="H7" s="6">
        <v>45082</v>
      </c>
      <c r="I7" s="7" t="str">
        <f t="shared" si="1"/>
        <v>Sufficient</v>
      </c>
    </row>
    <row r="8" spans="1:10" x14ac:dyDescent="0.3">
      <c r="A8" s="5">
        <v>1007</v>
      </c>
      <c r="B8" s="5" t="s">
        <v>13</v>
      </c>
      <c r="C8" s="5" t="s">
        <v>14</v>
      </c>
      <c r="D8" s="5">
        <v>11</v>
      </c>
      <c r="E8" s="5">
        <v>234000</v>
      </c>
      <c r="F8" s="5">
        <f t="shared" si="0"/>
        <v>2574000</v>
      </c>
      <c r="G8" s="5">
        <v>5</v>
      </c>
      <c r="H8" s="6">
        <v>45082</v>
      </c>
      <c r="I8" s="7" t="str">
        <f t="shared" si="1"/>
        <v>Sufficient</v>
      </c>
    </row>
    <row r="9" spans="1:10" x14ac:dyDescent="0.3">
      <c r="A9" s="1"/>
      <c r="B9" s="1"/>
      <c r="C9" s="1"/>
      <c r="D9" s="1"/>
      <c r="E9" s="1"/>
      <c r="F9" s="1"/>
      <c r="G9" s="1"/>
      <c r="H9" s="1"/>
    </row>
  </sheetData>
  <conditionalFormatting sqref="D2:D8">
    <cfRule type="cellIs" dxfId="0" priority="1" operator="lessThan">
      <formula>G2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F7C9E-6E59-44DB-A7EC-D6F552E72EE4}">
  <sheetPr codeName="Sheet2"/>
  <dimension ref="A1:G9"/>
  <sheetViews>
    <sheetView topLeftCell="C1" workbookViewId="0">
      <selection activeCell="E11" sqref="E11:G11"/>
    </sheetView>
  </sheetViews>
  <sheetFormatPr defaultRowHeight="14.4" x14ac:dyDescent="0.3"/>
  <cols>
    <col min="3" max="3" width="14.109375" customWidth="1"/>
    <col min="5" max="5" width="15" customWidth="1"/>
    <col min="6" max="6" width="13.5546875" customWidth="1"/>
    <col min="7" max="7" width="14.21875" customWidth="1"/>
  </cols>
  <sheetData>
    <row r="1" spans="1:7" x14ac:dyDescent="0.3">
      <c r="A1" s="4" t="s">
        <v>18</v>
      </c>
      <c r="B1" s="4" t="s">
        <v>0</v>
      </c>
      <c r="C1" s="4" t="s">
        <v>19</v>
      </c>
      <c r="D1" s="4" t="s">
        <v>20</v>
      </c>
      <c r="E1" s="4" t="s">
        <v>1</v>
      </c>
      <c r="F1" s="4" t="s">
        <v>33</v>
      </c>
      <c r="G1" s="4" t="s">
        <v>32</v>
      </c>
    </row>
    <row r="2" spans="1:7" x14ac:dyDescent="0.3">
      <c r="A2" s="7" t="s">
        <v>21</v>
      </c>
      <c r="B2" s="7">
        <v>1001</v>
      </c>
      <c r="C2" s="7">
        <v>5</v>
      </c>
      <c r="D2" s="10">
        <v>45078</v>
      </c>
      <c r="E2" s="7" t="str">
        <f>VLOOKUP(B2,Inventory!$A$2:$B$8,2,FALSE)</f>
        <v>Wireless Mouse</v>
      </c>
      <c r="F2" s="7">
        <f>VLOOKUP(B2,Inventory!$A$2:$E$8,5,FALSE)</f>
        <v>1128600000</v>
      </c>
      <c r="G2" s="7">
        <f>C2*F2</f>
        <v>5643000000</v>
      </c>
    </row>
    <row r="3" spans="1:7" x14ac:dyDescent="0.3">
      <c r="A3" s="7" t="s">
        <v>22</v>
      </c>
      <c r="B3" s="7">
        <v>1002</v>
      </c>
      <c r="C3" s="7">
        <v>20</v>
      </c>
      <c r="D3" s="10">
        <v>45078</v>
      </c>
      <c r="E3" s="7" t="str">
        <f>VLOOKUP(B3,Inventory!$A$2:$B$8,2,FALSE)</f>
        <v>USB-C Cable</v>
      </c>
      <c r="F3" s="7">
        <f>VLOOKUP(B3,Inventory!$A$2:$E$8,5,FALSE)</f>
        <v>60000</v>
      </c>
      <c r="G3" s="7">
        <f t="shared" ref="G3:G9" si="0">C3*F3</f>
        <v>1200000</v>
      </c>
    </row>
    <row r="4" spans="1:7" x14ac:dyDescent="0.3">
      <c r="A4" s="7" t="s">
        <v>23</v>
      </c>
      <c r="B4" s="7">
        <v>1003</v>
      </c>
      <c r="C4" s="7">
        <v>3</v>
      </c>
      <c r="D4" s="10">
        <v>45079</v>
      </c>
      <c r="E4" s="7" t="str">
        <f>VLOOKUP(B4,Inventory!$A$2:$B$8,2,FALSE)</f>
        <v>Notebook AS</v>
      </c>
      <c r="F4" s="7">
        <f>VLOOKUP(B4,Inventory!$A$2:$E$8,5,FALSE)</f>
        <v>388000</v>
      </c>
      <c r="G4" s="7">
        <f t="shared" si="0"/>
        <v>1164000</v>
      </c>
    </row>
    <row r="5" spans="1:7" x14ac:dyDescent="0.3">
      <c r="A5" s="7" t="s">
        <v>24</v>
      </c>
      <c r="B5" s="7">
        <v>1004</v>
      </c>
      <c r="C5" s="7">
        <v>15</v>
      </c>
      <c r="D5" s="10">
        <v>45080</v>
      </c>
      <c r="E5" s="7" t="str">
        <f>VLOOKUP(B5,Inventory!$A$2:$B$8,2,FALSE)</f>
        <v>Ballpoint Pen</v>
      </c>
      <c r="F5" s="7">
        <f>VLOOKUP(B5,Inventory!$A$2:$E$8,5,FALSE)</f>
        <v>370000</v>
      </c>
      <c r="G5" s="7">
        <f t="shared" si="0"/>
        <v>5550000</v>
      </c>
    </row>
    <row r="6" spans="1:7" x14ac:dyDescent="0.3">
      <c r="A6" s="7" t="s">
        <v>25</v>
      </c>
      <c r="B6" s="7">
        <v>1005</v>
      </c>
      <c r="C6" s="7">
        <v>8</v>
      </c>
      <c r="D6" s="10">
        <v>45080</v>
      </c>
      <c r="E6" s="7" t="str">
        <f>VLOOKUP(B6,Inventory!$A$2:$B$8,2,FALSE)</f>
        <v>Intant Coffee</v>
      </c>
      <c r="F6" s="7">
        <f>VLOOKUP(B6,Inventory!$A$2:$E$8,5,FALSE)</f>
        <v>384000</v>
      </c>
      <c r="G6" s="7">
        <f t="shared" si="0"/>
        <v>3072000</v>
      </c>
    </row>
    <row r="7" spans="1:7" x14ac:dyDescent="0.3">
      <c r="A7" s="7" t="s">
        <v>26</v>
      </c>
      <c r="B7" s="7">
        <v>1006</v>
      </c>
      <c r="C7" s="7">
        <v>4</v>
      </c>
      <c r="D7" s="10">
        <v>45081</v>
      </c>
      <c r="E7" s="7" t="str">
        <f>VLOOKUP(B7,Inventory!$A$2:$B$8,2,FALSE)</f>
        <v>Paper Ream A4</v>
      </c>
      <c r="F7" s="7">
        <f>VLOOKUP(B7,Inventory!$A$2:$E$8,5,FALSE)</f>
        <v>131250</v>
      </c>
      <c r="G7" s="7">
        <f t="shared" si="0"/>
        <v>525000</v>
      </c>
    </row>
    <row r="8" spans="1:7" x14ac:dyDescent="0.3">
      <c r="A8" s="7" t="s">
        <v>27</v>
      </c>
      <c r="B8" s="7">
        <v>1007</v>
      </c>
      <c r="C8" s="7">
        <v>2</v>
      </c>
      <c r="D8" s="10">
        <v>45812</v>
      </c>
      <c r="E8" s="7" t="str">
        <f>VLOOKUP(B8,Inventory!$A$2:$B$8,2,FALSE)</f>
        <v>Bluetooth Speaker</v>
      </c>
      <c r="F8" s="7">
        <f>VLOOKUP(B8,Inventory!$A$2:$E$8,5,FALSE)</f>
        <v>234000</v>
      </c>
      <c r="G8" s="7">
        <f t="shared" si="0"/>
        <v>468000</v>
      </c>
    </row>
    <row r="9" spans="1:7" x14ac:dyDescent="0.3">
      <c r="A9" s="7" t="s">
        <v>28</v>
      </c>
      <c r="B9" s="7">
        <v>1001</v>
      </c>
      <c r="C9" s="7">
        <v>7</v>
      </c>
      <c r="D9" s="10">
        <v>45081</v>
      </c>
      <c r="E9" s="7" t="str">
        <f>VLOOKUP(B9,Inventory!$A$2:$B$8,2,FALSE)</f>
        <v>Wireless Mouse</v>
      </c>
      <c r="F9" s="7">
        <f>VLOOKUP(B9,Inventory!$A$2:$E$8,5,FALSE)</f>
        <v>1128600000</v>
      </c>
      <c r="G9" s="7">
        <f t="shared" si="0"/>
        <v>7900200000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E24CA-7A69-478D-BA23-02E963536DEE}">
  <sheetPr codeName="Sheet7"/>
  <dimension ref="A1:C5"/>
  <sheetViews>
    <sheetView workbookViewId="0">
      <selection activeCell="E8" sqref="E8"/>
    </sheetView>
  </sheetViews>
  <sheetFormatPr defaultRowHeight="14.4" x14ac:dyDescent="0.3"/>
  <cols>
    <col min="2" max="2" width="12.44140625" customWidth="1"/>
    <col min="3" max="3" width="14.109375" customWidth="1"/>
  </cols>
  <sheetData>
    <row r="1" spans="1:3" x14ac:dyDescent="0.3">
      <c r="A1" s="8" t="s">
        <v>30</v>
      </c>
      <c r="B1" s="8"/>
      <c r="C1" s="7">
        <f>SUM(Inventory!F2:F8)</f>
        <v>29456393250</v>
      </c>
    </row>
    <row r="2" spans="1:3" x14ac:dyDescent="0.3">
      <c r="A2" s="8" t="s">
        <v>31</v>
      </c>
      <c r="B2" s="8"/>
      <c r="C2" s="9">
        <f>AVERAGE(Inventory!E2:E8)</f>
        <v>161452464.2857143</v>
      </c>
    </row>
    <row r="3" spans="1:3" x14ac:dyDescent="0.3">
      <c r="A3" s="8" t="s">
        <v>35</v>
      </c>
      <c r="B3" s="8"/>
      <c r="C3" s="7">
        <f>SUM(Sales!G2:G9)</f>
        <v>13555179000</v>
      </c>
    </row>
    <row r="4" spans="1:3" x14ac:dyDescent="0.3">
      <c r="A4" s="8" t="s">
        <v>40</v>
      </c>
      <c r="B4" s="8"/>
      <c r="C4" s="7">
        <f>COUNTIF(Inventory!$I$2:$I$8,"Lowstock")</f>
        <v>1</v>
      </c>
    </row>
    <row r="5" spans="1:3" x14ac:dyDescent="0.3">
      <c r="A5" s="3"/>
      <c r="B5" s="3"/>
    </row>
  </sheetData>
  <mergeCells count="5">
    <mergeCell ref="A1:B1"/>
    <mergeCell ref="A2:B2"/>
    <mergeCell ref="A3:B3"/>
    <mergeCell ref="A4:B4"/>
    <mergeCell ref="A5:B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F083D-9462-4F06-9660-68F2D29EC2DC}">
  <sheetPr codeName="Sheet3"/>
  <dimension ref="A3:B8"/>
  <sheetViews>
    <sheetView workbookViewId="0">
      <selection activeCell="D27" sqref="D27"/>
    </sheetView>
  </sheetViews>
  <sheetFormatPr defaultRowHeight="14.4" x14ac:dyDescent="0.3"/>
  <cols>
    <col min="1" max="1" width="12.5546875" bestFit="1" customWidth="1"/>
    <col min="2" max="3" width="16.109375" bestFit="1" customWidth="1"/>
  </cols>
  <sheetData>
    <row r="3" spans="1:2" x14ac:dyDescent="0.3">
      <c r="A3" s="11" t="s">
        <v>36</v>
      </c>
      <c r="B3" t="s">
        <v>38</v>
      </c>
    </row>
    <row r="4" spans="1:2" x14ac:dyDescent="0.3">
      <c r="A4" s="12" t="s">
        <v>14</v>
      </c>
      <c r="B4" s="13">
        <v>1128894000</v>
      </c>
    </row>
    <row r="5" spans="1:2" x14ac:dyDescent="0.3">
      <c r="A5" s="12" t="s">
        <v>16</v>
      </c>
      <c r="B5" s="13">
        <v>384000</v>
      </c>
    </row>
    <row r="6" spans="1:2" x14ac:dyDescent="0.3">
      <c r="A6" s="12" t="s">
        <v>17</v>
      </c>
      <c r="B6" s="13">
        <v>131250</v>
      </c>
    </row>
    <row r="7" spans="1:2" x14ac:dyDescent="0.3">
      <c r="A7" s="12" t="s">
        <v>15</v>
      </c>
      <c r="B7" s="13">
        <v>758000</v>
      </c>
    </row>
    <row r="8" spans="1:2" x14ac:dyDescent="0.3">
      <c r="A8" s="12" t="s">
        <v>37</v>
      </c>
      <c r="B8" s="13">
        <v>1130167250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18E38-FE00-4298-BE21-5E1D2712BAE5}">
  <sheetPr codeName="Sheet5"/>
  <dimension ref="A3:B11"/>
  <sheetViews>
    <sheetView tabSelected="1" workbookViewId="0">
      <selection activeCell="F8" sqref="F8"/>
    </sheetView>
  </sheetViews>
  <sheetFormatPr defaultRowHeight="14.4" x14ac:dyDescent="0.3"/>
  <cols>
    <col min="1" max="1" width="16.109375" bestFit="1" customWidth="1"/>
    <col min="2" max="2" width="19.109375" bestFit="1" customWidth="1"/>
  </cols>
  <sheetData>
    <row r="3" spans="1:2" x14ac:dyDescent="0.3">
      <c r="A3" s="11" t="s">
        <v>36</v>
      </c>
      <c r="B3" t="s">
        <v>39</v>
      </c>
    </row>
    <row r="4" spans="1:2" x14ac:dyDescent="0.3">
      <c r="A4" s="12" t="s">
        <v>9</v>
      </c>
      <c r="B4" s="13">
        <v>20</v>
      </c>
    </row>
    <row r="5" spans="1:2" x14ac:dyDescent="0.3">
      <c r="A5" s="12" t="s">
        <v>11</v>
      </c>
      <c r="B5" s="13">
        <v>15</v>
      </c>
    </row>
    <row r="6" spans="1:2" x14ac:dyDescent="0.3">
      <c r="A6" s="12" t="s">
        <v>8</v>
      </c>
      <c r="B6" s="13">
        <v>12</v>
      </c>
    </row>
    <row r="7" spans="1:2" x14ac:dyDescent="0.3">
      <c r="A7" s="12" t="s">
        <v>12</v>
      </c>
      <c r="B7" s="13">
        <v>8</v>
      </c>
    </row>
    <row r="8" spans="1:2" x14ac:dyDescent="0.3">
      <c r="A8" s="12" t="s">
        <v>34</v>
      </c>
      <c r="B8" s="13">
        <v>4</v>
      </c>
    </row>
    <row r="9" spans="1:2" x14ac:dyDescent="0.3">
      <c r="A9" s="12" t="s">
        <v>10</v>
      </c>
      <c r="B9" s="13">
        <v>3</v>
      </c>
    </row>
    <row r="10" spans="1:2" x14ac:dyDescent="0.3">
      <c r="A10" s="12" t="s">
        <v>13</v>
      </c>
      <c r="B10" s="13">
        <v>2</v>
      </c>
    </row>
    <row r="11" spans="1:2" x14ac:dyDescent="0.3">
      <c r="A11" s="12" t="s">
        <v>37</v>
      </c>
      <c r="B11" s="13">
        <v>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Inventory</vt:lpstr>
      <vt:lpstr>Sales</vt:lpstr>
      <vt:lpstr>KPI</vt:lpstr>
      <vt:lpstr>Dashboard</vt:lpstr>
      <vt:lpstr>Top Seller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Payel Pramanik</dc:creator>
  <cp:lastModifiedBy>Payel Pramanik</cp:lastModifiedBy>
  <dcterms:created xsi:type="dcterms:W3CDTF">2025-04-07T19:25:43Z</dcterms:created>
  <dcterms:modified xsi:type="dcterms:W3CDTF">2025-04-08T07:18:24Z</dcterms:modified>
</cp:coreProperties>
</file>